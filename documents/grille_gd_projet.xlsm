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_Grilles\"/>
    </mc:Choice>
  </mc:AlternateContent>
  <bookViews>
    <workbookView xWindow="0" yWindow="0" windowWidth="25200" windowHeight="12045" tabRatio="782"/>
  </bookViews>
  <sheets>
    <sheet name="G_source" sheetId="63" r:id="rId1"/>
  </sheets>
  <definedNames>
    <definedName name="CLASSE">#REF!</definedName>
    <definedName name="CPTELEVE">#REF!</definedName>
    <definedName name="NOM_ENSEIGNANT">#REF!</definedName>
  </definedNames>
  <calcPr calcId="152511"/>
</workbook>
</file>

<file path=xl/calcChain.xml><?xml version="1.0" encoding="utf-8"?>
<calcChain xmlns="http://schemas.openxmlformats.org/spreadsheetml/2006/main">
  <c r="F94" i="63" l="1"/>
  <c r="F93" i="63"/>
  <c r="F92" i="63"/>
  <c r="F91" i="63"/>
  <c r="F90" i="63"/>
  <c r="F89" i="63"/>
  <c r="F88" i="63"/>
  <c r="F85" i="63"/>
  <c r="F84" i="63"/>
  <c r="F83" i="63"/>
  <c r="F82" i="63"/>
  <c r="F81" i="63"/>
  <c r="F80" i="63"/>
  <c r="F70" i="63"/>
  <c r="F69" i="63"/>
  <c r="F68" i="63"/>
  <c r="F67" i="63"/>
  <c r="F66" i="63"/>
  <c r="F65" i="63"/>
  <c r="F64" i="63"/>
  <c r="F63" i="63"/>
  <c r="F60" i="63"/>
  <c r="F59" i="63"/>
  <c r="F58" i="63"/>
  <c r="F57" i="63"/>
  <c r="F56" i="63"/>
  <c r="F55" i="63"/>
  <c r="F54" i="63"/>
  <c r="F53" i="63"/>
  <c r="F43" i="63"/>
  <c r="F42" i="63"/>
  <c r="F39" i="63"/>
  <c r="F38" i="63"/>
  <c r="F37" i="63"/>
  <c r="F34" i="63"/>
  <c r="F33" i="63"/>
  <c r="F30" i="63"/>
  <c r="F29" i="63"/>
  <c r="F26" i="63"/>
  <c r="F23" i="63"/>
  <c r="F22" i="63"/>
  <c r="F19" i="63"/>
  <c r="F18" i="63"/>
  <c r="F17" i="63"/>
  <c r="F16" i="63"/>
  <c r="F15" i="63"/>
  <c r="F14" i="63"/>
  <c r="F13" i="63"/>
  <c r="F12" i="63"/>
  <c r="F11" i="63"/>
  <c r="F10" i="63"/>
  <c r="G72" i="63" l="1"/>
  <c r="G96" i="63"/>
  <c r="G45" i="63"/>
  <c r="G98" i="63" l="1"/>
</calcChain>
</file>

<file path=xl/sharedStrings.xml><?xml version="1.0" encoding="utf-8"?>
<sst xmlns="http://schemas.openxmlformats.org/spreadsheetml/2006/main" count="93" uniqueCount="75">
  <si>
    <t>Nom et prénom  de(s) enseignants(s) :</t>
  </si>
  <si>
    <t>Nom et prénom de l'élève :</t>
  </si>
  <si>
    <t>Classe :</t>
  </si>
  <si>
    <t>Date :</t>
  </si>
  <si>
    <t>1. Compétences professionnelles, comportement au travail</t>
  </si>
  <si>
    <t>Fautes légères</t>
  </si>
  <si>
    <t></t>
  </si>
  <si>
    <t></t>
  </si>
  <si>
    <t>Fautes graves</t>
  </si>
  <si>
    <t>Points positifs</t>
  </si>
  <si>
    <t>Motifs du choix</t>
  </si>
  <si>
    <t>Méthodologie au travail</t>
  </si>
  <si>
    <t xml:space="preserve"> </t>
  </si>
  <si>
    <t>Analyse le cahier des charges</t>
  </si>
  <si>
    <t>Découpe le projet en plusieurs parties</t>
  </si>
  <si>
    <t>Planifie les séquences d'exécution</t>
  </si>
  <si>
    <t>Respecte le temps à disposition</t>
  </si>
  <si>
    <t>Examine plusieurs variantes</t>
  </si>
  <si>
    <t>Prend des décisions organisationnelles</t>
  </si>
  <si>
    <t>Contrôle les travaux exécutés</t>
  </si>
  <si>
    <t>Discute les points délicats avec son supérieur professionnel</t>
  </si>
  <si>
    <t>Fixe des priorités</t>
  </si>
  <si>
    <t>Ne perd pas de temps inutilement</t>
  </si>
  <si>
    <t>Faculté d'adaptation</t>
  </si>
  <si>
    <t>S'adapte facilement aux changements</t>
  </si>
  <si>
    <t>Peut gérer plusieurs tâches simultanément</t>
  </si>
  <si>
    <t>Créativité</t>
  </si>
  <si>
    <t>Créatif dans ses solutions</t>
  </si>
  <si>
    <t>Faculté d'apprendre</t>
  </si>
  <si>
    <t>Va au fond des choses</t>
  </si>
  <si>
    <t>Recherche de l'information et l'utilise</t>
  </si>
  <si>
    <t>Autonomie</t>
  </si>
  <si>
    <t>Autonome dans son travail</t>
  </si>
  <si>
    <t>Déterminé, sûr de lui, efficace</t>
  </si>
  <si>
    <t>Compétences sociales</t>
  </si>
  <si>
    <t>Sait communiquer</t>
  </si>
  <si>
    <t>Respecte les règles et conventions</t>
  </si>
  <si>
    <t>Tient compte des interactions</t>
  </si>
  <si>
    <t>Divers</t>
  </si>
  <si>
    <t>Note attribuée aux compétences professionnelles</t>
  </si>
  <si>
    <t>Appréciation par le supérieur professionnel</t>
  </si>
  <si>
    <t>2. Résultats et qualité du travail</t>
  </si>
  <si>
    <t>Travail fourni</t>
  </si>
  <si>
    <t>Techniquement correct</t>
  </si>
  <si>
    <t>Conforme au cahier des charges</t>
  </si>
  <si>
    <t>Travail fourni correspond à ce que l'on peut attendre d'un professionnel</t>
  </si>
  <si>
    <t>Conforme aux normes en vigueur</t>
  </si>
  <si>
    <t>Solution optimale et rationnelle</t>
  </si>
  <si>
    <t>Ergonomie de l'application</t>
  </si>
  <si>
    <t>Finitions soignées du travail</t>
  </si>
  <si>
    <t>Niveau de difficutlé (si élevé, peut impliquer un point positif)</t>
  </si>
  <si>
    <t>Documentation technique</t>
  </si>
  <si>
    <t>Exhaustive, sans doublons</t>
  </si>
  <si>
    <t>A jour par rapport au travail</t>
  </si>
  <si>
    <t>Techniquement correcte</t>
  </si>
  <si>
    <t>Aide externe mentionnée + bibliographie</t>
  </si>
  <si>
    <t>Propreté et clarté du document</t>
  </si>
  <si>
    <t>Orthographe + syntaxe</t>
  </si>
  <si>
    <t>Journal de travail complet et correct</t>
  </si>
  <si>
    <t>Cheminement reproductible</t>
  </si>
  <si>
    <t>Note attribuée aux résultats du travail</t>
  </si>
  <si>
    <t>Appréciation par les experts</t>
  </si>
  <si>
    <t>3. Présentation aux experts et entretien</t>
  </si>
  <si>
    <t>Compétences professionnelles</t>
  </si>
  <si>
    <t>Maîtrise le sujet</t>
  </si>
  <si>
    <t>Utilise une terminologie appropriée</t>
  </si>
  <si>
    <t>Capable de faire une bonne synthèse mettant en évidence son travail</t>
  </si>
  <si>
    <t>Communication</t>
  </si>
  <si>
    <t>Présentation systématique</t>
  </si>
  <si>
    <t>Utilisation des moyens à disposition</t>
  </si>
  <si>
    <t>Bonne élocution</t>
  </si>
  <si>
    <t>Réponses claires et cohérentes aux questions des experts</t>
  </si>
  <si>
    <t>Note attribuée à la présentation et à l'entretien</t>
  </si>
  <si>
    <t>Note finale de TPI :</t>
  </si>
  <si>
    <t>(note "compétences professionnelles globales" + 2 x  note "résultat et efficience" + note "présentation et entretien professionnel") /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</si>
</sst>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[$€-1]_-;\-* #,##0.00\ [$€-1]_-;_-* &quot;-&quot;??\ [$€-1]_-"/>
    <numFmt numFmtId="165" formatCode="0.0"/>
  </numFmts>
  <fonts count="1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0"/>
      <name val="Univers"/>
      <family val="2"/>
    </font>
    <font>
      <b/>
      <sz val="12"/>
      <name val="Arial"/>
      <family val="2"/>
    </font>
    <font>
      <b/>
      <sz val="10"/>
      <name val="Wingdings 3"/>
      <family val="1"/>
      <charset val="2"/>
    </font>
    <font>
      <sz val="10"/>
      <name val="Wingdings 3"/>
      <family val="1"/>
      <charset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6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1" fillId="0" borderId="0"/>
    <xf numFmtId="0" fontId="6" fillId="0" borderId="0"/>
  </cellStyleXfs>
  <cellXfs count="81">
    <xf numFmtId="0" fontId="0" fillId="0" borderId="0" xfId="0"/>
    <xf numFmtId="0" fontId="0" fillId="2" borderId="0" xfId="0" applyFill="1"/>
    <xf numFmtId="0" fontId="2" fillId="0" borderId="0" xfId="2" applyNumberFormat="1" applyFill="1" applyBorder="1" applyAlignment="1" applyProtection="1">
      <alignment horizontal="center" vertical="center"/>
    </xf>
    <xf numFmtId="1" fontId="0" fillId="0" borderId="0" xfId="0" applyNumberFormat="1" applyFill="1" applyAlignment="1">
      <alignment horizontal="left"/>
    </xf>
    <xf numFmtId="0" fontId="7" fillId="2" borderId="0" xfId="0" applyFont="1" applyFill="1"/>
    <xf numFmtId="165" fontId="0" fillId="2" borderId="0" xfId="0" applyNumberFormat="1" applyFill="1"/>
    <xf numFmtId="0" fontId="0" fillId="2" borderId="5" xfId="0" applyFill="1" applyBorder="1"/>
    <xf numFmtId="0" fontId="1" fillId="2" borderId="5" xfId="0" applyFont="1" applyFill="1" applyBorder="1" applyAlignment="1">
      <alignment horizontal="right"/>
    </xf>
    <xf numFmtId="0" fontId="8" fillId="2" borderId="6" xfId="0" applyFont="1" applyFill="1" applyBorder="1" applyAlignment="1">
      <alignment horizontal="left"/>
    </xf>
    <xf numFmtId="0" fontId="9" fillId="2" borderId="7" xfId="0" applyFont="1" applyFill="1" applyBorder="1" applyAlignment="1">
      <alignment horizontal="right"/>
    </xf>
    <xf numFmtId="0" fontId="1" fillId="2" borderId="5" xfId="0" applyFont="1" applyFill="1" applyBorder="1" applyAlignment="1">
      <alignment horizontal="left"/>
    </xf>
    <xf numFmtId="165" fontId="0" fillId="2" borderId="5" xfId="0" applyNumberFormat="1" applyFill="1" applyBorder="1"/>
    <xf numFmtId="0" fontId="0" fillId="2" borderId="6" xfId="0" applyFill="1" applyBorder="1"/>
    <xf numFmtId="0" fontId="0" fillId="2" borderId="8" xfId="0" applyFill="1" applyBorder="1" applyAlignment="1">
      <alignment horizontal="right"/>
    </xf>
    <xf numFmtId="0" fontId="8" fillId="2" borderId="9" xfId="0" applyFont="1" applyFill="1" applyBorder="1" applyAlignment="1">
      <alignment horizontal="left"/>
    </xf>
    <xf numFmtId="0" fontId="8" fillId="2" borderId="10" xfId="0" applyFont="1" applyFill="1" applyBorder="1"/>
    <xf numFmtId="0" fontId="9" fillId="2" borderId="0" xfId="0" applyFont="1" applyFill="1"/>
    <xf numFmtId="0" fontId="1" fillId="2" borderId="11" xfId="0" applyFont="1" applyFill="1" applyBorder="1" applyAlignment="1">
      <alignment horizontal="left"/>
    </xf>
    <xf numFmtId="165" fontId="3" fillId="2" borderId="8" xfId="0" applyNumberFormat="1" applyFont="1" applyFill="1" applyBorder="1"/>
    <xf numFmtId="0" fontId="3" fillId="2" borderId="9" xfId="0" applyFont="1" applyFill="1" applyBorder="1" applyAlignment="1">
      <alignment horizontal="center"/>
    </xf>
    <xf numFmtId="0" fontId="7" fillId="2" borderId="12" xfId="0" applyFont="1" applyFill="1" applyBorder="1"/>
    <xf numFmtId="0" fontId="1" fillId="2" borderId="13" xfId="0" applyFont="1" applyFill="1" applyBorder="1"/>
    <xf numFmtId="0" fontId="0" fillId="2" borderId="13" xfId="0" applyFill="1" applyBorder="1" applyAlignment="1" applyProtection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/>
    <xf numFmtId="165" fontId="0" fillId="2" borderId="16" xfId="0" applyNumberFormat="1" applyFill="1" applyBorder="1"/>
    <xf numFmtId="0" fontId="0" fillId="2" borderId="17" xfId="0" applyFill="1" applyBorder="1"/>
    <xf numFmtId="0" fontId="0" fillId="2" borderId="18" xfId="0" applyFill="1" applyBorder="1"/>
    <xf numFmtId="0" fontId="0" fillId="0" borderId="19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20" xfId="0" applyFill="1" applyBorder="1" applyProtection="1">
      <protection locked="0"/>
    </xf>
    <xf numFmtId="165" fontId="0" fillId="2" borderId="0" xfId="0" applyNumberFormat="1" applyFill="1" applyBorder="1" applyAlignment="1" applyProtection="1">
      <alignment vertical="center"/>
      <protection locked="0"/>
    </xf>
    <xf numFmtId="0" fontId="0" fillId="2" borderId="10" xfId="0" applyFill="1" applyBorder="1" applyProtection="1">
      <protection locked="0"/>
    </xf>
    <xf numFmtId="0" fontId="0" fillId="2" borderId="21" xfId="0" applyFill="1" applyBorder="1"/>
    <xf numFmtId="0" fontId="0" fillId="0" borderId="22" xfId="0" applyFill="1" applyBorder="1" applyAlignment="1" applyProtection="1">
      <alignment horizontal="center"/>
      <protection locked="0"/>
    </xf>
    <xf numFmtId="0" fontId="1" fillId="2" borderId="18" xfId="0" applyFont="1" applyFill="1" applyBorder="1" applyAlignment="1">
      <alignment wrapText="1"/>
    </xf>
    <xf numFmtId="0" fontId="1" fillId="0" borderId="19" xfId="0" applyFont="1" applyFill="1" applyBorder="1" applyAlignment="1" applyProtection="1">
      <alignment horizontal="center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2" borderId="10" xfId="0" applyFont="1" applyFill="1" applyBorder="1" applyProtection="1">
      <protection locked="0"/>
    </xf>
    <xf numFmtId="0" fontId="1" fillId="2" borderId="20" xfId="0" applyFont="1" applyFill="1" applyBorder="1"/>
    <xf numFmtId="0" fontId="1" fillId="0" borderId="23" xfId="0" applyFont="1" applyFill="1" applyBorder="1" applyAlignment="1" applyProtection="1">
      <alignment horizontal="center"/>
      <protection locked="0"/>
    </xf>
    <xf numFmtId="0" fontId="0" fillId="2" borderId="7" xfId="0" applyFill="1" applyBorder="1"/>
    <xf numFmtId="0" fontId="0" fillId="2" borderId="11" xfId="0" applyFill="1" applyBorder="1"/>
    <xf numFmtId="0" fontId="0" fillId="2" borderId="8" xfId="0" applyFill="1" applyBorder="1" applyAlignment="1" applyProtection="1">
      <alignment horizontal="center"/>
      <protection locked="0"/>
    </xf>
    <xf numFmtId="0" fontId="0" fillId="2" borderId="24" xfId="0" applyFill="1" applyBorder="1"/>
    <xf numFmtId="165" fontId="0" fillId="2" borderId="24" xfId="0" applyNumberFormat="1" applyFill="1" applyBorder="1"/>
    <xf numFmtId="0" fontId="0" fillId="2" borderId="25" xfId="0" applyFill="1" applyBorder="1"/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1" fillId="2" borderId="21" xfId="0" applyFont="1" applyFill="1" applyBorder="1"/>
    <xf numFmtId="0" fontId="1" fillId="0" borderId="2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2" borderId="26" xfId="0" applyFill="1" applyBorder="1"/>
    <xf numFmtId="0" fontId="0" fillId="2" borderId="27" xfId="0" applyFill="1" applyBorder="1" applyAlignment="1" applyProtection="1">
      <alignment horizontal="center"/>
      <protection locked="0"/>
    </xf>
    <xf numFmtId="0" fontId="0" fillId="2" borderId="16" xfId="0" applyFill="1" applyBorder="1"/>
    <xf numFmtId="165" fontId="0" fillId="2" borderId="0" xfId="0" applyNumberFormat="1" applyFill="1" applyBorder="1"/>
    <xf numFmtId="0" fontId="0" fillId="2" borderId="10" xfId="0" applyFill="1" applyBorder="1"/>
    <xf numFmtId="0" fontId="0" fillId="2" borderId="8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" fillId="2" borderId="0" xfId="0" applyFont="1" applyFill="1" applyAlignment="1">
      <alignment horizontal="right"/>
    </xf>
    <xf numFmtId="165" fontId="7" fillId="2" borderId="4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/>
    </xf>
    <xf numFmtId="0" fontId="0" fillId="2" borderId="21" xfId="0" applyFill="1" applyBorder="1" applyAlignment="1">
      <alignment wrapText="1"/>
    </xf>
    <xf numFmtId="0" fontId="0" fillId="0" borderId="15" xfId="0" applyFill="1" applyBorder="1" applyProtection="1">
      <protection locked="0"/>
    </xf>
    <xf numFmtId="165" fontId="0" fillId="2" borderId="16" xfId="0" applyNumberFormat="1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2" borderId="18" xfId="0" applyFill="1" applyBorder="1" applyAlignment="1">
      <alignment wrapText="1"/>
    </xf>
    <xf numFmtId="0" fontId="0" fillId="0" borderId="18" xfId="0" applyFill="1" applyBorder="1"/>
    <xf numFmtId="0" fontId="0" fillId="0" borderId="21" xfId="0" applyFill="1" applyBorder="1"/>
    <xf numFmtId="0" fontId="0" fillId="2" borderId="0" xfId="0" applyFill="1" applyBorder="1"/>
    <xf numFmtId="0" fontId="0" fillId="0" borderId="21" xfId="0" applyFill="1" applyBorder="1" applyAlignment="1">
      <alignment wrapText="1"/>
    </xf>
    <xf numFmtId="165" fontId="7" fillId="2" borderId="3" xfId="0" applyNumberFormat="1" applyFont="1" applyFill="1" applyBorder="1" applyAlignment="1">
      <alignment horizontal="center"/>
    </xf>
    <xf numFmtId="0" fontId="2" fillId="3" borderId="0" xfId="2" applyNumberFormat="1" applyFont="1" applyFill="1" applyBorder="1" applyAlignment="1" applyProtection="1">
      <alignment horizontal="center" vertical="center"/>
    </xf>
    <xf numFmtId="0" fontId="1" fillId="3" borderId="0" xfId="0" applyFont="1" applyFill="1" applyAlignment="1">
      <alignment horizontal="right"/>
    </xf>
    <xf numFmtId="1" fontId="1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0" fontId="5" fillId="2" borderId="2" xfId="0" applyFont="1" applyFill="1" applyBorder="1" applyAlignment="1">
      <alignment horizontal="right"/>
    </xf>
    <xf numFmtId="0" fontId="4" fillId="2" borderId="0" xfId="0" applyFont="1" applyFill="1" applyAlignment="1">
      <alignment horizontal="right" wrapText="1"/>
    </xf>
    <xf numFmtId="14" fontId="3" fillId="3" borderId="0" xfId="0" applyNumberFormat="1" applyFont="1" applyFill="1" applyAlignment="1">
      <alignment horizontal="left"/>
    </xf>
    <xf numFmtId="0" fontId="3" fillId="3" borderId="0" xfId="0" applyFont="1" applyFill="1" applyAlignment="1">
      <alignment horizontal="left"/>
    </xf>
  </cellXfs>
  <cellStyles count="6">
    <cellStyle name="Euro" xfId="1"/>
    <cellStyle name="Lien hypertexte" xfId="2" builtinId="8"/>
    <cellStyle name="Normal" xfId="0" builtinId="0"/>
    <cellStyle name="Normal 2" xfId="4"/>
    <cellStyle name="Standard 3" xfId="3"/>
    <cellStyle name="Standard_PM IPABd_Entwurf_V1_110620_Hpa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G99"/>
  <sheetViews>
    <sheetView tabSelected="1" workbookViewId="0">
      <pane ySplit="5" topLeftCell="A30" activePane="bottomLeft" state="frozen"/>
      <selection pane="bottomLeft" activeCell="K8" sqref="K8"/>
    </sheetView>
  </sheetViews>
  <sheetFormatPr baseColWidth="10" defaultRowHeight="12.75"/>
  <cols>
    <col min="1" max="1" width="51.7109375" customWidth="1"/>
    <col min="2" max="2" width="8.5703125" customWidth="1"/>
    <col min="3" max="6" width="6" customWidth="1"/>
    <col min="7" max="7" width="6.140625" customWidth="1"/>
    <col min="8" max="8" width="5.140625" customWidth="1"/>
    <col min="9" max="10" width="4.5703125" customWidth="1"/>
  </cols>
  <sheetData>
    <row r="1" spans="1:7" ht="20.25" customHeight="1">
      <c r="A1" s="73"/>
      <c r="B1" s="74" t="s">
        <v>3</v>
      </c>
      <c r="C1" s="79"/>
      <c r="D1" s="79"/>
      <c r="E1" s="79"/>
      <c r="F1" s="79"/>
      <c r="G1" s="79"/>
    </row>
    <row r="2" spans="1:7" ht="20.25" customHeight="1">
      <c r="A2" s="73"/>
      <c r="B2" s="74" t="s">
        <v>2</v>
      </c>
      <c r="C2" s="80"/>
      <c r="D2" s="80"/>
      <c r="E2" s="80"/>
      <c r="F2" s="80"/>
      <c r="G2" s="80"/>
    </row>
    <row r="3" spans="1:7" ht="20.25" customHeight="1">
      <c r="A3" s="73"/>
      <c r="B3" s="75" t="s">
        <v>1</v>
      </c>
      <c r="C3" s="80"/>
      <c r="D3" s="80"/>
      <c r="E3" s="80"/>
      <c r="F3" s="80"/>
      <c r="G3" s="80"/>
    </row>
    <row r="4" spans="1:7" ht="20.25" customHeight="1">
      <c r="A4" s="73"/>
      <c r="B4" s="75" t="s">
        <v>0</v>
      </c>
      <c r="C4" s="80"/>
      <c r="D4" s="80"/>
      <c r="E4" s="80"/>
      <c r="F4" s="80"/>
      <c r="G4" s="80"/>
    </row>
    <row r="5" spans="1:7">
      <c r="A5" s="2"/>
      <c r="B5" s="3"/>
    </row>
    <row r="6" spans="1:7" ht="15.75">
      <c r="A6" s="4" t="s">
        <v>4</v>
      </c>
      <c r="B6" s="1"/>
      <c r="C6" s="1"/>
      <c r="D6" s="1"/>
      <c r="E6" s="1"/>
      <c r="F6" s="5"/>
      <c r="G6" s="1"/>
    </row>
    <row r="7" spans="1:7">
      <c r="A7" s="6"/>
      <c r="B7" s="7" t="s">
        <v>5</v>
      </c>
      <c r="C7" s="8" t="s">
        <v>6</v>
      </c>
      <c r="D7" s="9" t="s">
        <v>7</v>
      </c>
      <c r="E7" s="10" t="s">
        <v>8</v>
      </c>
      <c r="F7" s="11"/>
      <c r="G7" s="12"/>
    </row>
    <row r="8" spans="1:7" ht="13.5" thickBot="1">
      <c r="A8" s="13" t="s">
        <v>9</v>
      </c>
      <c r="B8" s="14" t="s">
        <v>6</v>
      </c>
      <c r="C8" s="15"/>
      <c r="D8" s="16"/>
      <c r="E8" s="17" t="s">
        <v>10</v>
      </c>
      <c r="F8" s="18"/>
      <c r="G8" s="19"/>
    </row>
    <row r="9" spans="1:7" ht="16.5" thickTop="1">
      <c r="A9" s="20" t="s">
        <v>11</v>
      </c>
      <c r="B9" s="21"/>
      <c r="C9" s="22"/>
      <c r="D9" s="23" t="s">
        <v>12</v>
      </c>
      <c r="E9" s="24"/>
      <c r="F9" s="25"/>
      <c r="G9" s="26"/>
    </row>
    <row r="10" spans="1:7">
      <c r="A10" s="27" t="s">
        <v>13</v>
      </c>
      <c r="B10" s="28"/>
      <c r="C10" s="29"/>
      <c r="D10" s="29"/>
      <c r="E10" s="30"/>
      <c r="F10" s="31">
        <f>-IF(D10="X",2,0)-IF(C10="X",0.5,0)+IF(B10="X",0.5,0)</f>
        <v>0</v>
      </c>
      <c r="G10" s="32"/>
    </row>
    <row r="11" spans="1:7">
      <c r="A11" s="33" t="s">
        <v>14</v>
      </c>
      <c r="B11" s="29"/>
      <c r="C11" s="29"/>
      <c r="D11" s="29"/>
      <c r="E11" s="30"/>
      <c r="F11" s="31">
        <f t="shared" ref="F11:F19" si="0">-IF(D11="X",2,0)-IF(C11="X",0.5,0)+IF(B11="X",0.5,0)</f>
        <v>0</v>
      </c>
      <c r="G11" s="32"/>
    </row>
    <row r="12" spans="1:7">
      <c r="A12" s="33" t="s">
        <v>15</v>
      </c>
      <c r="B12" s="29"/>
      <c r="C12" s="29"/>
      <c r="D12" s="29"/>
      <c r="E12" s="30"/>
      <c r="F12" s="31">
        <f t="shared" si="0"/>
        <v>0</v>
      </c>
      <c r="G12" s="32"/>
    </row>
    <row r="13" spans="1:7">
      <c r="A13" s="33" t="s">
        <v>16</v>
      </c>
      <c r="B13" s="29"/>
      <c r="C13" s="29"/>
      <c r="D13" s="29"/>
      <c r="E13" s="30"/>
      <c r="F13" s="31">
        <f t="shared" si="0"/>
        <v>0</v>
      </c>
      <c r="G13" s="32"/>
    </row>
    <row r="14" spans="1:7">
      <c r="A14" s="33" t="s">
        <v>17</v>
      </c>
      <c r="B14" s="29"/>
      <c r="C14" s="34"/>
      <c r="D14" s="29"/>
      <c r="E14" s="30"/>
      <c r="F14" s="31">
        <f t="shared" si="0"/>
        <v>0</v>
      </c>
      <c r="G14" s="32"/>
    </row>
    <row r="15" spans="1:7">
      <c r="A15" s="33" t="s">
        <v>18</v>
      </c>
      <c r="B15" s="29"/>
      <c r="C15" s="29"/>
      <c r="D15" s="29"/>
      <c r="E15" s="30"/>
      <c r="F15" s="31">
        <f t="shared" si="0"/>
        <v>0</v>
      </c>
      <c r="G15" s="32"/>
    </row>
    <row r="16" spans="1:7">
      <c r="A16" s="33" t="s">
        <v>19</v>
      </c>
      <c r="B16" s="29"/>
      <c r="C16" s="29"/>
      <c r="D16" s="29"/>
      <c r="E16" s="30"/>
      <c r="F16" s="31">
        <f t="shared" si="0"/>
        <v>0</v>
      </c>
      <c r="G16" s="32"/>
    </row>
    <row r="17" spans="1:7">
      <c r="A17" s="35" t="s">
        <v>20</v>
      </c>
      <c r="B17" s="36"/>
      <c r="C17" s="36"/>
      <c r="D17" s="37"/>
      <c r="E17" s="30"/>
      <c r="F17" s="31">
        <f t="shared" si="0"/>
        <v>0</v>
      </c>
      <c r="G17" s="38"/>
    </row>
    <row r="18" spans="1:7">
      <c r="A18" s="39" t="s">
        <v>21</v>
      </c>
      <c r="B18" s="36"/>
      <c r="C18" s="36"/>
      <c r="D18" s="40"/>
      <c r="E18" s="30"/>
      <c r="F18" s="31">
        <f t="shared" si="0"/>
        <v>0</v>
      </c>
      <c r="G18" s="38"/>
    </row>
    <row r="19" spans="1:7">
      <c r="A19" s="41" t="s">
        <v>22</v>
      </c>
      <c r="B19" s="36"/>
      <c r="C19" s="36"/>
      <c r="D19" s="40"/>
      <c r="E19" s="30"/>
      <c r="F19" s="31">
        <f t="shared" si="0"/>
        <v>0</v>
      </c>
      <c r="G19" s="38"/>
    </row>
    <row r="20" spans="1:7" ht="13.5" thickBot="1">
      <c r="A20" s="42"/>
      <c r="B20" s="43"/>
      <c r="C20" s="43"/>
      <c r="D20" s="43"/>
      <c r="E20" s="44"/>
      <c r="F20" s="45"/>
      <c r="G20" s="46"/>
    </row>
    <row r="21" spans="1:7" ht="16.5" thickTop="1">
      <c r="A21" s="20" t="s">
        <v>23</v>
      </c>
      <c r="B21" s="47"/>
      <c r="C21" s="47"/>
      <c r="D21" s="48"/>
      <c r="E21" s="24"/>
      <c r="F21" s="25"/>
      <c r="G21" s="26"/>
    </row>
    <row r="22" spans="1:7">
      <c r="A22" s="33" t="s">
        <v>24</v>
      </c>
      <c r="B22" s="29"/>
      <c r="C22" s="29"/>
      <c r="D22" s="29"/>
      <c r="E22" s="30"/>
      <c r="F22" s="31">
        <f>-IF(D22="X",2,0)-IF(C22="X",0.5,0)+IF(B22="X",0.5,0)</f>
        <v>0</v>
      </c>
      <c r="G22" s="32"/>
    </row>
    <row r="23" spans="1:7">
      <c r="A23" s="49" t="s">
        <v>25</v>
      </c>
      <c r="B23" s="37"/>
      <c r="C23" s="37"/>
      <c r="D23" s="37"/>
      <c r="E23" s="50"/>
      <c r="F23" s="31">
        <f>-IF(D23="X",2,0)-IF(C23="X",0.5,0)+IF(B23="X",0.5,0)</f>
        <v>0</v>
      </c>
      <c r="G23" s="38"/>
    </row>
    <row r="24" spans="1:7" ht="13.5" thickBot="1">
      <c r="A24" s="42"/>
      <c r="B24" s="43"/>
      <c r="C24" s="43"/>
      <c r="D24" s="43"/>
      <c r="E24" s="44"/>
      <c r="F24" s="45"/>
      <c r="G24" s="46"/>
    </row>
    <row r="25" spans="1:7" ht="16.5" thickTop="1">
      <c r="A25" s="20" t="s">
        <v>26</v>
      </c>
      <c r="B25" s="47"/>
      <c r="C25" s="47"/>
      <c r="D25" s="48"/>
      <c r="E25" s="24"/>
      <c r="F25" s="25"/>
      <c r="G25" s="26"/>
    </row>
    <row r="26" spans="1:7">
      <c r="A26" s="33" t="s">
        <v>27</v>
      </c>
      <c r="B26" s="29"/>
      <c r="C26" s="29"/>
      <c r="D26" s="29"/>
      <c r="E26" s="30"/>
      <c r="F26" s="31">
        <f>-IF(D26="X",2,0)-IF(C26="X",0.5,0)+IF(B26="X",0.5,0)</f>
        <v>0</v>
      </c>
      <c r="G26" s="32"/>
    </row>
    <row r="27" spans="1:7" ht="13.5" thickBot="1">
      <c r="A27" s="42"/>
      <c r="B27" s="43"/>
      <c r="C27" s="43"/>
      <c r="D27" s="43"/>
      <c r="E27" s="44"/>
      <c r="F27" s="45"/>
      <c r="G27" s="46"/>
    </row>
    <row r="28" spans="1:7" ht="16.5" thickTop="1">
      <c r="A28" s="20" t="s">
        <v>28</v>
      </c>
      <c r="B28" s="47"/>
      <c r="C28" s="47"/>
      <c r="D28" s="48"/>
      <c r="E28" s="24"/>
      <c r="F28" s="25"/>
      <c r="G28" s="26"/>
    </row>
    <row r="29" spans="1:7">
      <c r="A29" s="33" t="s">
        <v>29</v>
      </c>
      <c r="B29" s="29"/>
      <c r="C29" s="29"/>
      <c r="D29" s="29"/>
      <c r="E29" s="30"/>
      <c r="F29" s="31">
        <f>-IF(D29="X",2,0)-IF(C29="X",0.5,0)+IF(B29="X",0.5,0)</f>
        <v>0</v>
      </c>
      <c r="G29" s="32"/>
    </row>
    <row r="30" spans="1:7">
      <c r="A30" s="33" t="s">
        <v>30</v>
      </c>
      <c r="B30" s="29"/>
      <c r="C30" s="29"/>
      <c r="D30" s="29"/>
      <c r="E30" s="51"/>
      <c r="F30" s="31">
        <f>-IF(D30="X",2,0)-IF(C30="X",0.5,0)+IF(B30="X",0.5,0)</f>
        <v>0</v>
      </c>
      <c r="G30" s="32"/>
    </row>
    <row r="31" spans="1:7" ht="13.5" thickBot="1">
      <c r="A31" s="52"/>
      <c r="B31" s="53"/>
      <c r="C31" s="53"/>
      <c r="D31" s="53"/>
      <c r="E31" s="44"/>
      <c r="F31" s="45"/>
      <c r="G31" s="46"/>
    </row>
    <row r="32" spans="1:7" ht="16.5" thickTop="1">
      <c r="A32" s="20" t="s">
        <v>31</v>
      </c>
      <c r="B32" s="47"/>
      <c r="C32" s="47"/>
      <c r="D32" s="48"/>
      <c r="E32" s="54"/>
      <c r="F32" s="25"/>
      <c r="G32" s="26"/>
    </row>
    <row r="33" spans="1:7">
      <c r="A33" s="33" t="s">
        <v>32</v>
      </c>
      <c r="B33" s="29"/>
      <c r="C33" s="29"/>
      <c r="D33" s="29"/>
      <c r="E33" s="30"/>
      <c r="F33" s="31">
        <f>-IF(D33="X",2,0)-IF(C33="X",0.5,0)+IF(B33="X",0.5,0)</f>
        <v>0</v>
      </c>
      <c r="G33" s="32"/>
    </row>
    <row r="34" spans="1:7">
      <c r="A34" s="33" t="s">
        <v>33</v>
      </c>
      <c r="B34" s="29"/>
      <c r="C34" s="29"/>
      <c r="D34" s="29"/>
      <c r="E34" s="30"/>
      <c r="F34" s="31">
        <f>-IF(D34="X",2,0)-IF(C34="X",0.5,0)+IF(B34="X",0.5,0)</f>
        <v>0</v>
      </c>
      <c r="G34" s="32"/>
    </row>
    <row r="35" spans="1:7" ht="13.5" thickBot="1">
      <c r="A35" s="42"/>
      <c r="B35" s="43"/>
      <c r="C35" s="43"/>
      <c r="D35" s="43"/>
      <c r="E35" s="44"/>
      <c r="F35" s="55"/>
      <c r="G35" s="56"/>
    </row>
    <row r="36" spans="1:7" ht="16.5" thickTop="1">
      <c r="A36" s="20" t="s">
        <v>34</v>
      </c>
      <c r="B36" s="47"/>
      <c r="C36" s="47"/>
      <c r="D36" s="48"/>
      <c r="E36" s="24"/>
      <c r="F36" s="25"/>
      <c r="G36" s="26"/>
    </row>
    <row r="37" spans="1:7">
      <c r="A37" s="33" t="s">
        <v>35</v>
      </c>
      <c r="B37" s="29"/>
      <c r="C37" s="29"/>
      <c r="D37" s="29"/>
      <c r="E37" s="30"/>
      <c r="F37" s="31">
        <f>-IF(D37="X",2,0)-IF(C37="X",0.5,0)+IF(B37="X",0.5,0)</f>
        <v>0</v>
      </c>
      <c r="G37" s="32"/>
    </row>
    <row r="38" spans="1:7">
      <c r="A38" s="33" t="s">
        <v>36</v>
      </c>
      <c r="B38" s="29"/>
      <c r="C38" s="29"/>
      <c r="D38" s="29"/>
      <c r="E38" s="30"/>
      <c r="F38" s="31">
        <f>-IF(D38="X",2,0)-IF(C38="X",0.5,0)+IF(B38="X",0.5,0)</f>
        <v>0</v>
      </c>
      <c r="G38" s="32"/>
    </row>
    <row r="39" spans="1:7">
      <c r="A39" s="33" t="s">
        <v>37</v>
      </c>
      <c r="B39" s="29"/>
      <c r="C39" s="29"/>
      <c r="D39" s="29"/>
      <c r="E39" s="30"/>
      <c r="F39" s="31">
        <f>-IF(D39="X",2,0)-IF(C39="X",0.5,0)+IF(B39="X",0.5,0)</f>
        <v>0</v>
      </c>
      <c r="G39" s="32"/>
    </row>
    <row r="40" spans="1:7" ht="13.5" thickBot="1">
      <c r="A40" s="42"/>
      <c r="B40" s="43"/>
      <c r="C40" s="43"/>
      <c r="D40" s="43"/>
      <c r="E40" s="44"/>
      <c r="F40" s="45"/>
      <c r="G40" s="46"/>
    </row>
    <row r="41" spans="1:7" ht="16.5" thickTop="1">
      <c r="A41" s="20" t="s">
        <v>38</v>
      </c>
      <c r="B41" s="47"/>
      <c r="C41" s="47"/>
      <c r="D41" s="48"/>
      <c r="E41" s="24"/>
      <c r="F41" s="25"/>
      <c r="G41" s="26"/>
    </row>
    <row r="42" spans="1:7">
      <c r="A42" s="33"/>
      <c r="B42" s="29"/>
      <c r="C42" s="29"/>
      <c r="D42" s="29"/>
      <c r="E42" s="30"/>
      <c r="F42" s="31">
        <f>-IF(D42="X",2,0)-IF(C42="X",0.5,0)+IF(B42="X",0.5,0)</f>
        <v>0</v>
      </c>
      <c r="G42" s="32"/>
    </row>
    <row r="43" spans="1:7">
      <c r="A43" s="33"/>
      <c r="B43" s="29"/>
      <c r="C43" s="29"/>
      <c r="D43" s="29"/>
      <c r="E43" s="30"/>
      <c r="F43" s="31">
        <f>-IF(D43="X",2,0)-IF(C43="X",0.5,0)+IF(B43="X",0.5,0)</f>
        <v>0</v>
      </c>
      <c r="G43" s="32"/>
    </row>
    <row r="44" spans="1:7" ht="13.5" thickBot="1">
      <c r="A44" s="42"/>
      <c r="B44" s="57"/>
      <c r="C44" s="57"/>
      <c r="D44" s="57"/>
      <c r="E44" s="58"/>
      <c r="F44" s="45"/>
      <c r="G44" s="56"/>
    </row>
    <row r="45" spans="1:7" ht="17.25" thickTop="1" thickBot="1">
      <c r="A45" s="1"/>
      <c r="B45" s="1"/>
      <c r="C45" s="1"/>
      <c r="D45" s="1"/>
      <c r="E45" s="59" t="s">
        <v>39</v>
      </c>
      <c r="F45" s="5"/>
      <c r="G45" s="60">
        <f>IF((5+SUM(F10:F43))&gt;6,6,IF((5+SUM(F10:F43))&lt;1,1,(5+SUM(F10:F43))))</f>
        <v>5</v>
      </c>
    </row>
    <row r="46" spans="1:7">
      <c r="A46" s="1"/>
      <c r="B46" s="1"/>
      <c r="C46" s="1"/>
      <c r="D46" s="1"/>
      <c r="E46" s="1"/>
      <c r="F46" s="5"/>
      <c r="G46" s="1"/>
    </row>
    <row r="47" spans="1:7" ht="20.25">
      <c r="A47" s="61" t="s">
        <v>40</v>
      </c>
      <c r="B47" s="62"/>
      <c r="C47" s="1"/>
      <c r="D47" s="1"/>
      <c r="E47" s="1"/>
      <c r="F47" s="5"/>
      <c r="G47" s="1"/>
    </row>
    <row r="48" spans="1:7">
      <c r="A48" s="1"/>
      <c r="B48" s="1"/>
      <c r="C48" s="1"/>
      <c r="D48" s="1"/>
      <c r="E48" s="1"/>
      <c r="F48" s="5"/>
      <c r="G48" s="1"/>
    </row>
    <row r="49" spans="1:7" ht="15.75">
      <c r="A49" s="4" t="s">
        <v>41</v>
      </c>
      <c r="B49" s="1"/>
      <c r="C49" s="1"/>
      <c r="D49" s="1"/>
      <c r="E49" s="1"/>
      <c r="F49" s="5"/>
      <c r="G49" s="1"/>
    </row>
    <row r="50" spans="1:7">
      <c r="A50" s="6"/>
      <c r="B50" s="7" t="s">
        <v>5</v>
      </c>
      <c r="C50" s="8" t="s">
        <v>6</v>
      </c>
      <c r="D50" s="9" t="s">
        <v>7</v>
      </c>
      <c r="E50" s="10" t="s">
        <v>8</v>
      </c>
      <c r="F50" s="11"/>
      <c r="G50" s="12"/>
    </row>
    <row r="51" spans="1:7" ht="13.5" thickBot="1">
      <c r="A51" s="13" t="s">
        <v>9</v>
      </c>
      <c r="B51" s="14" t="s">
        <v>6</v>
      </c>
      <c r="C51" s="15"/>
      <c r="D51" s="16"/>
      <c r="E51" s="17" t="s">
        <v>10</v>
      </c>
      <c r="F51" s="18"/>
      <c r="G51" s="19"/>
    </row>
    <row r="52" spans="1:7" ht="16.5" thickTop="1">
      <c r="A52" s="20" t="s">
        <v>42</v>
      </c>
      <c r="B52" s="21" t="s">
        <v>12</v>
      </c>
      <c r="C52" s="22"/>
      <c r="D52" s="23"/>
      <c r="E52" s="24"/>
      <c r="F52" s="25"/>
      <c r="G52" s="26"/>
    </row>
    <row r="53" spans="1:7">
      <c r="A53" s="27" t="s">
        <v>43</v>
      </c>
      <c r="B53" s="28"/>
      <c r="C53" s="29"/>
      <c r="D53" s="29"/>
      <c r="E53" s="30"/>
      <c r="F53" s="31">
        <f t="shared" ref="F53:F60" si="1">-IF(D53="X",2,0)-IF(C53="X",0.5,0)+IF(B53="X",0.5,0)</f>
        <v>0</v>
      </c>
      <c r="G53" s="32"/>
    </row>
    <row r="54" spans="1:7">
      <c r="A54" s="33" t="s">
        <v>44</v>
      </c>
      <c r="B54" s="29"/>
      <c r="C54" s="29"/>
      <c r="D54" s="29"/>
      <c r="E54" s="30"/>
      <c r="F54" s="31">
        <f t="shared" si="1"/>
        <v>0</v>
      </c>
      <c r="G54" s="32"/>
    </row>
    <row r="55" spans="1:7" ht="25.5">
      <c r="A55" s="63" t="s">
        <v>45</v>
      </c>
      <c r="B55" s="29"/>
      <c r="C55" s="29"/>
      <c r="D55" s="29"/>
      <c r="E55" s="30"/>
      <c r="F55" s="31">
        <f t="shared" si="1"/>
        <v>0</v>
      </c>
      <c r="G55" s="32"/>
    </row>
    <row r="56" spans="1:7">
      <c r="A56" s="33" t="s">
        <v>46</v>
      </c>
      <c r="B56" s="29"/>
      <c r="C56" s="29"/>
      <c r="D56" s="29"/>
      <c r="E56" s="30"/>
      <c r="F56" s="31">
        <f t="shared" si="1"/>
        <v>0</v>
      </c>
      <c r="G56" s="32"/>
    </row>
    <row r="57" spans="1:7">
      <c r="A57" s="33" t="s">
        <v>47</v>
      </c>
      <c r="B57" s="29"/>
      <c r="C57" s="29"/>
      <c r="D57" s="29"/>
      <c r="E57" s="30"/>
      <c r="F57" s="31">
        <f t="shared" si="1"/>
        <v>0</v>
      </c>
      <c r="G57" s="32"/>
    </row>
    <row r="58" spans="1:7">
      <c r="A58" s="33" t="s">
        <v>48</v>
      </c>
      <c r="B58" s="29"/>
      <c r="C58" s="29"/>
      <c r="D58" s="29"/>
      <c r="E58" s="30"/>
      <c r="F58" s="31">
        <f t="shared" si="1"/>
        <v>0</v>
      </c>
      <c r="G58" s="32"/>
    </row>
    <row r="59" spans="1:7">
      <c r="A59" s="33" t="s">
        <v>49</v>
      </c>
      <c r="B59" s="29"/>
      <c r="C59" s="29"/>
      <c r="D59" s="29"/>
      <c r="E59" s="30"/>
      <c r="F59" s="31">
        <f t="shared" si="1"/>
        <v>0</v>
      </c>
      <c r="G59" s="32"/>
    </row>
    <row r="60" spans="1:7">
      <c r="A60" s="63" t="s">
        <v>50</v>
      </c>
      <c r="B60" s="29"/>
      <c r="C60" s="29"/>
      <c r="D60" s="29"/>
      <c r="E60" s="30"/>
      <c r="F60" s="31">
        <f t="shared" si="1"/>
        <v>0</v>
      </c>
      <c r="G60" s="32"/>
    </row>
    <row r="61" spans="1:7" ht="13.5" thickBot="1">
      <c r="A61" s="42"/>
      <c r="B61" s="43"/>
      <c r="C61" s="43"/>
      <c r="D61" s="43"/>
      <c r="E61" s="44"/>
      <c r="F61" s="45"/>
      <c r="G61" s="46"/>
    </row>
    <row r="62" spans="1:7" ht="16.5" thickTop="1">
      <c r="A62" s="20" t="s">
        <v>51</v>
      </c>
      <c r="B62" s="47"/>
      <c r="C62" s="47"/>
      <c r="D62" s="48"/>
      <c r="E62" s="24"/>
      <c r="F62" s="25"/>
      <c r="G62" s="26"/>
    </row>
    <row r="63" spans="1:7">
      <c r="A63" s="33" t="s">
        <v>52</v>
      </c>
      <c r="B63" s="29"/>
      <c r="C63" s="29"/>
      <c r="D63" s="29"/>
      <c r="E63" s="30"/>
      <c r="F63" s="31">
        <f t="shared" ref="F63:F70" si="2">-IF(D63="X",2,0)-IF(C63="X",0.5,0)+IF(B63="X",0.5,0)</f>
        <v>0</v>
      </c>
      <c r="G63" s="32"/>
    </row>
    <row r="64" spans="1:7">
      <c r="A64" s="33" t="s">
        <v>53</v>
      </c>
      <c r="B64" s="29"/>
      <c r="C64" s="29"/>
      <c r="D64" s="29"/>
      <c r="E64" s="30"/>
      <c r="F64" s="31">
        <f t="shared" si="2"/>
        <v>0</v>
      </c>
      <c r="G64" s="32"/>
    </row>
    <row r="65" spans="1:7">
      <c r="A65" s="33" t="s">
        <v>54</v>
      </c>
      <c r="B65" s="29"/>
      <c r="C65" s="29"/>
      <c r="D65" s="29"/>
      <c r="E65" s="30"/>
      <c r="F65" s="31">
        <f t="shared" si="2"/>
        <v>0</v>
      </c>
      <c r="G65" s="32"/>
    </row>
    <row r="66" spans="1:7">
      <c r="A66" s="33" t="s">
        <v>55</v>
      </c>
      <c r="B66" s="29"/>
      <c r="C66" s="29"/>
      <c r="D66" s="29"/>
      <c r="E66" s="30"/>
      <c r="F66" s="31">
        <f t="shared" si="2"/>
        <v>0</v>
      </c>
      <c r="G66" s="32"/>
    </row>
    <row r="67" spans="1:7">
      <c r="A67" s="33" t="s">
        <v>56</v>
      </c>
      <c r="B67" s="29"/>
      <c r="C67" s="29"/>
      <c r="D67" s="29"/>
      <c r="E67" s="30"/>
      <c r="F67" s="31">
        <f t="shared" si="2"/>
        <v>0</v>
      </c>
      <c r="G67" s="32"/>
    </row>
    <row r="68" spans="1:7">
      <c r="A68" s="33" t="s">
        <v>57</v>
      </c>
      <c r="B68" s="29"/>
      <c r="C68" s="29"/>
      <c r="D68" s="29"/>
      <c r="E68" s="30"/>
      <c r="F68" s="31">
        <f t="shared" si="2"/>
        <v>0</v>
      </c>
      <c r="G68" s="32"/>
    </row>
    <row r="69" spans="1:7">
      <c r="A69" s="33" t="s">
        <v>58</v>
      </c>
      <c r="B69" s="29"/>
      <c r="C69" s="29"/>
      <c r="D69" s="29"/>
      <c r="E69" s="30"/>
      <c r="F69" s="31">
        <f t="shared" si="2"/>
        <v>0</v>
      </c>
      <c r="G69" s="32"/>
    </row>
    <row r="70" spans="1:7">
      <c r="A70" s="49" t="s">
        <v>59</v>
      </c>
      <c r="B70" s="37"/>
      <c r="C70" s="37"/>
      <c r="D70" s="37"/>
      <c r="E70" s="50"/>
      <c r="F70" s="31">
        <f t="shared" si="2"/>
        <v>0</v>
      </c>
      <c r="G70" s="38"/>
    </row>
    <row r="71" spans="1:7" ht="13.5" thickBot="1">
      <c r="A71" s="42"/>
      <c r="B71" s="43"/>
      <c r="C71" s="43"/>
      <c r="D71" s="43"/>
      <c r="E71" s="44"/>
      <c r="F71" s="45"/>
      <c r="G71" s="46"/>
    </row>
    <row r="72" spans="1:7" ht="17.25" thickTop="1" thickBot="1">
      <c r="A72" s="1"/>
      <c r="B72" s="1"/>
      <c r="C72" s="1"/>
      <c r="D72" s="1"/>
      <c r="E72" s="59" t="s">
        <v>60</v>
      </c>
      <c r="F72" s="5"/>
      <c r="G72" s="60">
        <f>IF((5+SUM(F53:F71))&gt;6,6,IF((5+SUM(F53:F71))&lt;1,1,(5+SUM(F53:F71))))</f>
        <v>5</v>
      </c>
    </row>
    <row r="73" spans="1:7">
      <c r="A73" s="1"/>
      <c r="B73" s="1"/>
      <c r="C73" s="1"/>
      <c r="D73" s="1"/>
      <c r="E73" s="1"/>
      <c r="F73" s="5"/>
      <c r="G73" s="1"/>
    </row>
    <row r="74" spans="1:7" ht="20.25">
      <c r="A74" s="61" t="s">
        <v>61</v>
      </c>
      <c r="B74" s="62"/>
      <c r="C74" s="1"/>
      <c r="D74" s="1"/>
      <c r="E74" s="1"/>
      <c r="F74" s="5"/>
      <c r="G74" s="1"/>
    </row>
    <row r="75" spans="1:7">
      <c r="A75" s="1"/>
      <c r="B75" s="1"/>
      <c r="C75" s="1"/>
      <c r="D75" s="1"/>
      <c r="E75" s="1"/>
      <c r="F75" s="5"/>
      <c r="G75" s="1"/>
    </row>
    <row r="76" spans="1:7" ht="15.75">
      <c r="A76" s="4" t="s">
        <v>62</v>
      </c>
      <c r="B76" s="1"/>
      <c r="C76" s="1"/>
      <c r="D76" s="1"/>
      <c r="E76" s="1"/>
      <c r="F76" s="5"/>
      <c r="G76" s="1"/>
    </row>
    <row r="77" spans="1:7">
      <c r="A77" s="6"/>
      <c r="B77" s="7" t="s">
        <v>5</v>
      </c>
      <c r="C77" s="8" t="s">
        <v>6</v>
      </c>
      <c r="D77" s="9" t="s">
        <v>7</v>
      </c>
      <c r="E77" s="10" t="s">
        <v>8</v>
      </c>
      <c r="F77" s="11"/>
      <c r="G77" s="12"/>
    </row>
    <row r="78" spans="1:7" ht="13.5" thickBot="1">
      <c r="A78" s="13" t="s">
        <v>9</v>
      </c>
      <c r="B78" s="14" t="s">
        <v>6</v>
      </c>
      <c r="C78" s="15"/>
      <c r="D78" s="16"/>
      <c r="E78" s="17" t="s">
        <v>10</v>
      </c>
      <c r="F78" s="18"/>
      <c r="G78" s="19"/>
    </row>
    <row r="79" spans="1:7" ht="16.5" thickTop="1">
      <c r="A79" s="20" t="s">
        <v>63</v>
      </c>
      <c r="B79" s="21" t="s">
        <v>12</v>
      </c>
      <c r="C79" s="22"/>
      <c r="D79" s="23" t="s">
        <v>12</v>
      </c>
      <c r="E79" s="64"/>
      <c r="F79" s="65"/>
      <c r="G79" s="66"/>
    </row>
    <row r="80" spans="1:7">
      <c r="A80" s="27" t="s">
        <v>64</v>
      </c>
      <c r="B80" s="28"/>
      <c r="C80" s="29"/>
      <c r="D80" s="29"/>
      <c r="E80" s="30"/>
      <c r="F80" s="31">
        <f t="shared" ref="F80:F85" si="3">-IF(D80="X",2,0)-IF(C80="X",0.5,0)+IF(B80="X",0.5,0)</f>
        <v>0</v>
      </c>
      <c r="G80" s="32"/>
    </row>
    <row r="81" spans="1:7">
      <c r="A81" s="27" t="s">
        <v>65</v>
      </c>
      <c r="B81" s="28"/>
      <c r="C81" s="29"/>
      <c r="D81" s="29"/>
      <c r="E81" s="30"/>
      <c r="F81" s="31">
        <f t="shared" si="3"/>
        <v>0</v>
      </c>
      <c r="G81" s="32"/>
    </row>
    <row r="82" spans="1:7" ht="25.5">
      <c r="A82" s="67" t="s">
        <v>66</v>
      </c>
      <c r="B82" s="28"/>
      <c r="C82" s="29"/>
      <c r="D82" s="29"/>
      <c r="E82" s="30"/>
      <c r="F82" s="31">
        <f t="shared" si="3"/>
        <v>0</v>
      </c>
      <c r="G82" s="32"/>
    </row>
    <row r="83" spans="1:7">
      <c r="A83" s="68"/>
      <c r="B83" s="28"/>
      <c r="C83" s="29"/>
      <c r="D83" s="29"/>
      <c r="E83" s="30"/>
      <c r="F83" s="31">
        <f t="shared" si="3"/>
        <v>0</v>
      </c>
      <c r="G83" s="32"/>
    </row>
    <row r="84" spans="1:7">
      <c r="A84" s="68"/>
      <c r="B84" s="28"/>
      <c r="C84" s="29"/>
      <c r="D84" s="29"/>
      <c r="E84" s="30"/>
      <c r="F84" s="31">
        <f t="shared" si="3"/>
        <v>0</v>
      </c>
      <c r="G84" s="32"/>
    </row>
    <row r="85" spans="1:7">
      <c r="A85" s="69"/>
      <c r="B85" s="29"/>
      <c r="C85" s="29"/>
      <c r="D85" s="29"/>
      <c r="E85" s="30"/>
      <c r="F85" s="31">
        <f t="shared" si="3"/>
        <v>0</v>
      </c>
      <c r="G85" s="32"/>
    </row>
    <row r="86" spans="1:7" ht="13.5" thickBot="1">
      <c r="A86" s="42"/>
      <c r="B86" s="43"/>
      <c r="C86" s="43"/>
      <c r="D86" s="43"/>
      <c r="E86" s="70"/>
      <c r="F86" s="55"/>
      <c r="G86" s="56"/>
    </row>
    <row r="87" spans="1:7" ht="16.5" thickTop="1">
      <c r="A87" s="20" t="s">
        <v>67</v>
      </c>
      <c r="B87" s="47"/>
      <c r="C87" s="47"/>
      <c r="D87" s="48"/>
      <c r="E87" s="24"/>
      <c r="F87" s="25"/>
      <c r="G87" s="26"/>
    </row>
    <row r="88" spans="1:7">
      <c r="A88" s="33" t="s">
        <v>68</v>
      </c>
      <c r="B88" s="29"/>
      <c r="C88" s="29"/>
      <c r="D88" s="29"/>
      <c r="E88" s="30"/>
      <c r="F88" s="31">
        <f t="shared" ref="F88:F94" si="4">-IF(D88="X",2,0)-IF(C88="X",0.5,0)+IF(B88="X",0.5,0)</f>
        <v>0</v>
      </c>
      <c r="G88" s="32"/>
    </row>
    <row r="89" spans="1:7">
      <c r="A89" s="33" t="s">
        <v>69</v>
      </c>
      <c r="B89" s="29"/>
      <c r="C89" s="29"/>
      <c r="D89" s="29"/>
      <c r="E89" s="30"/>
      <c r="F89" s="31">
        <f t="shared" si="4"/>
        <v>0</v>
      </c>
      <c r="G89" s="32"/>
    </row>
    <row r="90" spans="1:7">
      <c r="A90" s="33" t="s">
        <v>70</v>
      </c>
      <c r="B90" s="29"/>
      <c r="C90" s="29"/>
      <c r="D90" s="29"/>
      <c r="E90" s="30"/>
      <c r="F90" s="31">
        <f t="shared" si="4"/>
        <v>0</v>
      </c>
      <c r="G90" s="32"/>
    </row>
    <row r="91" spans="1:7">
      <c r="A91" s="63" t="s">
        <v>71</v>
      </c>
      <c r="B91" s="29"/>
      <c r="C91" s="29"/>
      <c r="D91" s="29"/>
      <c r="E91" s="30"/>
      <c r="F91" s="31">
        <f t="shared" si="4"/>
        <v>0</v>
      </c>
      <c r="G91" s="32"/>
    </row>
    <row r="92" spans="1:7">
      <c r="A92" s="69"/>
      <c r="B92" s="29"/>
      <c r="C92" s="29"/>
      <c r="D92" s="29"/>
      <c r="E92" s="30"/>
      <c r="F92" s="31">
        <f t="shared" si="4"/>
        <v>0</v>
      </c>
      <c r="G92" s="32"/>
    </row>
    <row r="93" spans="1:7">
      <c r="A93" s="69"/>
      <c r="B93" s="29"/>
      <c r="C93" s="29"/>
      <c r="D93" s="29"/>
      <c r="E93" s="30"/>
      <c r="F93" s="31">
        <f t="shared" si="4"/>
        <v>0</v>
      </c>
      <c r="G93" s="32"/>
    </row>
    <row r="94" spans="1:7">
      <c r="A94" s="71"/>
      <c r="B94" s="29"/>
      <c r="C94" s="29"/>
      <c r="D94" s="29"/>
      <c r="E94" s="30"/>
      <c r="F94" s="31">
        <f t="shared" si="4"/>
        <v>0</v>
      </c>
      <c r="G94" s="32"/>
    </row>
    <row r="95" spans="1:7" ht="13.5" thickBot="1">
      <c r="A95" s="52"/>
      <c r="B95" s="58"/>
      <c r="C95" s="58"/>
      <c r="D95" s="58"/>
      <c r="E95" s="58"/>
      <c r="F95" s="45"/>
      <c r="G95" s="56"/>
    </row>
    <row r="96" spans="1:7" ht="17.25" thickTop="1" thickBot="1">
      <c r="A96" s="1"/>
      <c r="B96" s="1"/>
      <c r="C96" s="1"/>
      <c r="D96" s="1"/>
      <c r="E96" s="59" t="s">
        <v>72</v>
      </c>
      <c r="F96" s="5"/>
      <c r="G96" s="60">
        <f>IF((5+SUM(F80:F94))&gt;6,6,IF((5+SUM(F80:F94))&lt;1,1,(5+SUM(F80:F94))))</f>
        <v>5</v>
      </c>
    </row>
    <row r="97" spans="1:7" ht="16.5" thickBot="1">
      <c r="A97" s="1"/>
      <c r="B97" s="1"/>
      <c r="C97" s="1"/>
      <c r="D97" s="1"/>
      <c r="E97" s="59"/>
      <c r="F97" s="5"/>
      <c r="G97" s="72"/>
    </row>
    <row r="98" spans="1:7" ht="18.75" thickBot="1">
      <c r="A98" s="76" t="s">
        <v>73</v>
      </c>
      <c r="B98" s="76"/>
      <c r="C98" s="76"/>
      <c r="D98" s="76"/>
      <c r="E98" s="76"/>
      <c r="F98" s="77"/>
      <c r="G98" s="60">
        <f>(G45+2*G72+G96)/4</f>
        <v>5</v>
      </c>
    </row>
    <row r="99" spans="1:7">
      <c r="A99" s="78" t="s">
        <v>74</v>
      </c>
      <c r="B99" s="78"/>
      <c r="C99" s="78"/>
      <c r="D99" s="78"/>
      <c r="E99" s="78"/>
      <c r="F99" s="78"/>
      <c r="G99" s="78"/>
    </row>
  </sheetData>
  <mergeCells count="6">
    <mergeCell ref="A98:F98"/>
    <mergeCell ref="A99:G99"/>
    <mergeCell ref="C1:G1"/>
    <mergeCell ref="C2:G2"/>
    <mergeCell ref="C3:G3"/>
    <mergeCell ref="C4:G4"/>
  </mergeCells>
  <phoneticPr fontId="4" type="noConversion"/>
  <pageMargins left="0.78740157499999996" right="0.78740157499999996" top="0.56999999999999995" bottom="0.67" header="0.32" footer="0.4921259845"/>
  <pageSetup paperSize="9" scale="8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G_source</vt:lpstr>
    </vt:vector>
  </TitlesOfParts>
  <Company>CPLN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moine</dc:creator>
  <cp:lastModifiedBy>Dumont Marc</cp:lastModifiedBy>
  <cp:lastPrinted>2015-06-11T15:32:02Z</cp:lastPrinted>
  <dcterms:created xsi:type="dcterms:W3CDTF">2003-11-15T08:21:48Z</dcterms:created>
  <dcterms:modified xsi:type="dcterms:W3CDTF">2016-12-06T07:34:54Z</dcterms:modified>
</cp:coreProperties>
</file>